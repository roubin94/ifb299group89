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D:\Haydens D drive\Desktop\Artefacts\"/>
    </mc:Choice>
  </mc:AlternateContent>
  <bookViews>
    <workbookView xWindow="5175" yWindow="0" windowWidth="22950" windowHeight="9615" activeTab="2"/>
  </bookViews>
  <sheets>
    <sheet name="SprintInfo" sheetId="2" r:id="rId1"/>
    <sheet name="BacklogTable" sheetId="1" r:id="rId2"/>
    <sheet name="BurnDownTable" sheetId="3" r:id="rId3"/>
  </sheets>
  <definedNames>
    <definedName name="DevRate">SprintInfo!$B$10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RemainingHours">SprintBacklog[[#Totals],[Remaining Hours]]</definedName>
    <definedName name="StartDate">SprintInfo!$B$2</definedName>
    <definedName name="TotalHours">SprintBacklog[[#Totals],[Estimated Hours]]</definedName>
    <definedName name="WorkingDays">SprintInfo!$B$6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3" l="1"/>
  <c r="B4" i="3"/>
  <c r="B5" i="3"/>
  <c r="F25" i="1" l="1"/>
  <c r="C25" i="1"/>
  <c r="B4" i="2"/>
  <c r="B6" i="2" s="1"/>
  <c r="B9" i="2" l="1"/>
  <c r="B10" i="2" s="1"/>
</calcChain>
</file>

<file path=xl/comments1.xml><?xml version="1.0" encoding="utf-8"?>
<comments xmlns="http://schemas.openxmlformats.org/spreadsheetml/2006/main">
  <authors>
    <author>PowerUps for Excel</author>
  </authors>
  <commentList>
    <comment ref="A2" authorId="0" shapeId="0">
      <text>
        <r>
          <rPr>
            <b/>
            <sz val="9"/>
            <color indexed="81"/>
            <rFont val="Tahoma"/>
            <family val="2"/>
          </rPr>
          <t>PowerUps for Excel:</t>
        </r>
        <r>
          <rPr>
            <sz val="9"/>
            <color indexed="81"/>
            <rFont val="Tahoma"/>
            <family val="2"/>
          </rPr>
          <t xml:space="preserve">
Create one row per day in the sprint.</t>
        </r>
      </text>
    </comment>
  </commentList>
</comments>
</file>

<file path=xl/sharedStrings.xml><?xml version="1.0" encoding="utf-8"?>
<sst xmlns="http://schemas.openxmlformats.org/spreadsheetml/2006/main" count="61" uniqueCount="42">
  <si>
    <t>Start Date</t>
  </si>
  <si>
    <t>End Date</t>
  </si>
  <si>
    <t>Holidays</t>
  </si>
  <si>
    <t>Available Dev Hours</t>
  </si>
  <si>
    <t>Number of Devs</t>
  </si>
  <si>
    <t>Daily Dev Hours</t>
  </si>
  <si>
    <t>Item ID</t>
  </si>
  <si>
    <t>Estimated Hours</t>
  </si>
  <si>
    <t>Task Name</t>
  </si>
  <si>
    <t>Assigned To</t>
  </si>
  <si>
    <t>Remaining Hours</t>
  </si>
  <si>
    <t>Status</t>
  </si>
  <si>
    <t>Sprint</t>
  </si>
  <si>
    <t>Total</t>
  </si>
  <si>
    <t>Work Day</t>
  </si>
  <si>
    <t>Elapsed Days</t>
  </si>
  <si>
    <t>Working Days</t>
  </si>
  <si>
    <t>Actual Burn Down</t>
  </si>
  <si>
    <t>Enter the start date for the sprint</t>
  </si>
  <si>
    <t>Enter the ending date for the sprint</t>
  </si>
  <si>
    <t>If there are any holidays or other special days occuring during the sprint, enter that number here</t>
  </si>
  <si>
    <t>Utilization</t>
  </si>
  <si>
    <t>Enter a value for the utilization of the team</t>
  </si>
  <si>
    <t xml:space="preserve">Completed </t>
  </si>
  <si>
    <t>Estimate Burn Down</t>
  </si>
  <si>
    <t>Adjust Bookings database to add teacher ID and student ID with foreign key association on both.</t>
  </si>
  <si>
    <t>Added drop down menu displaying all teacher users currently in the database to select a relevant calendar.</t>
  </si>
  <si>
    <t>Adjusted calendar querying to display only bookings related to user select teacher ID.</t>
  </si>
  <si>
    <t>Added hidden capture on ‘Make Booking’ form to capture student ID into the database.</t>
  </si>
  <si>
    <t>Test and verify that tasks within the story have been completed.</t>
  </si>
  <si>
    <t>Added key displaying what each colour means e.g. available, unavailable.</t>
  </si>
  <si>
    <t>Set up the database to store feedback (separate tables for feedback intended for staff or a teacher). Create database documentation.</t>
  </si>
  <si>
    <t>Create a page with a form for students to provide feedback. This form submits entered feedback to the database.</t>
  </si>
  <si>
    <t>Separate form into two for each recipient type (teachers and the school) based on story acceptance criteria.</t>
  </si>
  <si>
    <t>Set up the database to store job applications. Create database documentation.</t>
  </si>
  <si>
    <t>Create first stage of form where a job applicant may upload their resume which is stored on the webserver.</t>
  </si>
  <si>
    <t>Create second stage of form where the job applicant fills in their details which is submitted to the database.</t>
  </si>
  <si>
    <t>Create a teacher profile page and link to a page where the teacher can view feedback.</t>
  </si>
  <si>
    <t>Match feedback provided by students for that specific teacher (using IDs) and show a table containing all the feedback.</t>
  </si>
  <si>
    <t>Create a management page where staff can view feedback.</t>
  </si>
  <si>
    <t>Show a table containing all the feedback provided by students.</t>
  </si>
  <si>
    <t>Find the bug prevent instrument images from being uploaded, fix it and test it.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</si>
</sst>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Segoe UI Light"/>
      <family val="2"/>
    </font>
    <font>
      <sz val="11"/>
      <color theme="1"/>
      <name val="Segoe UI Light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0">
    <xf numFmtId="0" fontId="0" fillId="0" borderId="0" xfId="0"/>
    <xf numFmtId="0" fontId="2" fillId="0" borderId="0" xfId="0" applyFont="1" applyAlignment="1">
      <alignment horizontal="center"/>
    </xf>
    <xf numFmtId="0" fontId="3" fillId="0" borderId="0" xfId="0" applyFont="1" applyAlignment="1">
      <alignment horizontal="left" indent="1"/>
    </xf>
    <xf numFmtId="0" fontId="3" fillId="0" borderId="0" xfId="0" applyFont="1"/>
    <xf numFmtId="0" fontId="3" fillId="0" borderId="0" xfId="0" applyFont="1" applyAlignment="1">
      <alignment horizontal="right"/>
    </xf>
    <xf numFmtId="14" fontId="3" fillId="2" borderId="2" xfId="0" applyNumberFormat="1" applyFont="1" applyFill="1" applyBorder="1"/>
    <xf numFmtId="14" fontId="3" fillId="2" borderId="3" xfId="0" applyNumberFormat="1" applyFont="1" applyFill="1" applyBorder="1"/>
    <xf numFmtId="0" fontId="3" fillId="2" borderId="1" xfId="0" applyFont="1" applyFill="1" applyBorder="1"/>
    <xf numFmtId="9" fontId="3" fillId="2" borderId="1" xfId="1" applyFont="1" applyFill="1" applyBorder="1"/>
    <xf numFmtId="0" fontId="3" fillId="0" borderId="0" xfId="0" applyFont="1" applyAlignment="1">
      <alignment wrapText="1"/>
    </xf>
    <xf numFmtId="0" fontId="3" fillId="0" borderId="0" xfId="0" applyFont="1" applyAlignment="1">
      <alignment horizontal="center" wrapText="1"/>
    </xf>
    <xf numFmtId="1" fontId="3" fillId="0" borderId="0" xfId="0" applyNumberFormat="1" applyFont="1" applyAlignment="1">
      <alignment horizontal="center" wrapText="1"/>
    </xf>
    <xf numFmtId="0" fontId="3" fillId="0" borderId="0" xfId="0" applyFont="1" applyAlignment="1">
      <alignment horizontal="center"/>
    </xf>
    <xf numFmtId="1" fontId="3" fillId="0" borderId="0" xfId="0" applyNumberFormat="1" applyFont="1"/>
    <xf numFmtId="0" fontId="2" fillId="0" borderId="0" xfId="0" applyFont="1"/>
    <xf numFmtId="0" fontId="6" fillId="0" borderId="0" xfId="0" applyFont="1"/>
    <xf numFmtId="16" fontId="3" fillId="0" borderId="0" xfId="0" applyNumberFormat="1" applyFont="1"/>
    <xf numFmtId="0" fontId="7" fillId="0" borderId="0" xfId="0" applyFont="1"/>
    <xf numFmtId="164" fontId="3" fillId="0" borderId="0" xfId="0" applyNumberFormat="1" applyFont="1"/>
    <xf numFmtId="164" fontId="3" fillId="0" borderId="0" xfId="0" applyNumberFormat="1" applyFont="1" applyBorder="1"/>
  </cellXfs>
  <cellStyles count="2">
    <cellStyle name="Normal" xfId="0" builtinId="0"/>
    <cellStyle name="Percent" xfId="1" builtinId="5"/>
  </cellStyles>
  <dxfs count="29">
    <dxf>
      <font>
        <strike val="0"/>
        <outline val="0"/>
        <shadow val="0"/>
        <u val="none"/>
        <vertAlign val="baseline"/>
        <sz val="11"/>
        <color theme="1"/>
        <name val="Segoe UI Light"/>
        <scheme val="none"/>
      </font>
      <numFmt numFmtId="164" formatCode="0.0"/>
    </dxf>
    <dxf>
      <font>
        <strike val="0"/>
        <outline val="0"/>
        <shadow val="0"/>
        <u val="none"/>
        <vertAlign val="baseline"/>
        <sz val="11"/>
        <color theme="1"/>
        <name val="Segoe UI Light"/>
        <scheme val="none"/>
      </font>
      <numFmt numFmtId="164" formatCode="0.0"/>
    </dxf>
    <dxf>
      <font>
        <strike val="0"/>
        <outline val="0"/>
        <shadow val="0"/>
        <u val="none"/>
        <vertAlign val="baseline"/>
        <sz val="11"/>
        <color theme="1"/>
        <name val="Segoe UI Light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Segoe UI Light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Segoe UI 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</dxf>
    <dxf>
      <font>
        <b/>
        <strike val="0"/>
        <outline val="0"/>
        <shadow val="0"/>
        <u val="none"/>
        <vertAlign val="baseline"/>
        <sz val="11"/>
        <color rgb="FF000000"/>
        <name val="Segoe UI Light"/>
        <scheme val="none"/>
      </font>
      <fill>
        <patternFill patternType="solid">
          <fgColor indexed="64"/>
          <bgColor theme="4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</dxf>
    <dxf>
      <font>
        <b/>
        <strike val="0"/>
        <outline val="0"/>
        <shadow val="0"/>
        <u val="none"/>
        <vertAlign val="baseline"/>
        <sz val="11"/>
        <color rgb="FF000000"/>
        <name val="Segoe UI Light"/>
        <scheme val="none"/>
      </font>
      <numFmt numFmtId="0" formatCode="General"/>
      <fill>
        <patternFill patternType="solid">
          <fgColor indexed="64"/>
          <bgColor theme="4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</dxf>
    <dxf>
      <font>
        <b/>
        <strike val="0"/>
        <outline val="0"/>
        <shadow val="0"/>
        <u val="none"/>
        <vertAlign val="baseline"/>
        <sz val="11"/>
        <color rgb="FF000000"/>
        <name val="Segoe UI Light"/>
        <scheme val="none"/>
      </font>
      <fill>
        <patternFill patternType="solid">
          <fgColor indexed="64"/>
          <bgColor theme="4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</dxf>
    <dxf>
      <font>
        <b/>
        <strike val="0"/>
        <outline val="0"/>
        <shadow val="0"/>
        <u val="none"/>
        <vertAlign val="baseline"/>
        <sz val="11"/>
        <color rgb="FF000000"/>
        <name val="Segoe UI Light"/>
        <scheme val="none"/>
      </font>
      <numFmt numFmtId="1" formatCode="0"/>
      <fill>
        <patternFill patternType="solid">
          <fgColor indexed="64"/>
          <bgColor theme="4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</dxf>
    <dxf>
      <font>
        <b/>
        <strike val="0"/>
        <outline val="0"/>
        <shadow val="0"/>
        <u val="none"/>
        <vertAlign val="baseline"/>
        <sz val="11"/>
        <color rgb="FF000000"/>
        <name val="Segoe UI Light"/>
        <scheme val="none"/>
      </font>
      <numFmt numFmtId="0" formatCode="General"/>
      <fill>
        <patternFill patternType="solid">
          <fgColor indexed="64"/>
          <bgColor theme="4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</dxf>
    <dxf>
      <font>
        <b/>
        <strike val="0"/>
        <outline val="0"/>
        <shadow val="0"/>
        <u val="none"/>
        <vertAlign val="baseline"/>
        <sz val="11"/>
        <color rgb="FF000000"/>
        <name val="Segoe UI Light"/>
        <scheme val="none"/>
      </font>
      <border outline="0"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scheme val="none"/>
      </font>
    </dxf>
    <dxf>
      <font>
        <b val="0"/>
        <strike val="0"/>
        <outline val="0"/>
        <shadow val="0"/>
        <u val="none"/>
        <vertAlign val="baseline"/>
        <sz val="11"/>
        <color theme="1"/>
        <name val="Segoe UI Light"/>
        <scheme val="none"/>
      </font>
    </dxf>
    <dxf>
      <font>
        <b/>
        <strike val="0"/>
        <outline val="0"/>
        <shadow val="0"/>
        <u val="none"/>
        <vertAlign val="baseline"/>
        <sz val="11"/>
        <color theme="1"/>
        <name val="Segoe UI Light"/>
        <scheme val="none"/>
      </font>
    </dxf>
    <dxf>
      <font>
        <b val="0"/>
        <strike val="0"/>
        <outline val="0"/>
        <shadow val="0"/>
        <u val="none"/>
        <vertAlign val="baseline"/>
        <sz val="11"/>
        <color theme="1"/>
        <name val="Segoe UI Light"/>
        <scheme val="none"/>
      </font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 Light"/>
        <scheme val="none"/>
      </font>
    </dxf>
    <dxf>
      <numFmt numFmtId="165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scheme val="none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 Light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Segoe UI Light"/>
        <scheme val="none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8"/>
      <tableStyleElement type="headerRow" dxfId="27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Sprint</a:t>
            </a:r>
            <a:r>
              <a:rPr lang="en-US" baseline="0"/>
              <a:t> 4 Burn Down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BurnDownTable!$B$2</c:f>
              <c:strCache>
                <c:ptCount val="1"/>
                <c:pt idx="0">
                  <c:v>Estimate Burn Down</c:v>
                </c:pt>
              </c:strCache>
            </c:strRef>
          </c:tx>
          <c:spPr>
            <a:ln w="28575" cap="rnd">
              <a:solidFill>
                <a:schemeClr val="bg1">
                  <a:lumMod val="8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>
                  <a:lumMod val="75000"/>
                </a:schemeClr>
              </a:solidFill>
              <a:ln w="9525">
                <a:solidFill>
                  <a:schemeClr val="bg1">
                    <a:lumMod val="75000"/>
                  </a:schemeClr>
                </a:solidFill>
              </a:ln>
              <a:effectLst/>
            </c:spPr>
          </c:marker>
          <c:cat>
            <c:numRef>
              <c:f>BurnDownTable!$A$3:$A$19</c:f>
              <c:numCache>
                <c:formatCode>d\-mmm</c:formatCode>
                <c:ptCount val="17"/>
                <c:pt idx="1">
                  <c:v>42656</c:v>
                </c:pt>
                <c:pt idx="2">
                  <c:v>42657</c:v>
                </c:pt>
                <c:pt idx="3">
                  <c:v>42658</c:v>
                </c:pt>
                <c:pt idx="4">
                  <c:v>42659</c:v>
                </c:pt>
                <c:pt idx="5">
                  <c:v>42660</c:v>
                </c:pt>
                <c:pt idx="6">
                  <c:v>42661</c:v>
                </c:pt>
                <c:pt idx="7">
                  <c:v>42662</c:v>
                </c:pt>
                <c:pt idx="8">
                  <c:v>42663</c:v>
                </c:pt>
                <c:pt idx="9">
                  <c:v>42664</c:v>
                </c:pt>
                <c:pt idx="10">
                  <c:v>42665</c:v>
                </c:pt>
                <c:pt idx="11">
                  <c:v>42666</c:v>
                </c:pt>
                <c:pt idx="12">
                  <c:v>42667</c:v>
                </c:pt>
                <c:pt idx="13">
                  <c:v>42668</c:v>
                </c:pt>
              </c:numCache>
            </c:numRef>
          </c:cat>
          <c:val>
            <c:numRef>
              <c:f>BurnDownTable!$B$4:$B$19</c:f>
              <c:numCache>
                <c:formatCode>0.0</c:formatCode>
                <c:ptCount val="16"/>
                <c:pt idx="0">
                  <c:v>22.5</c:v>
                </c:pt>
                <c:pt idx="1">
                  <c:v>22.5</c:v>
                </c:pt>
                <c:pt idx="2">
                  <c:v>22.5</c:v>
                </c:pt>
                <c:pt idx="3">
                  <c:v>21.5</c:v>
                </c:pt>
                <c:pt idx="4">
                  <c:v>20.5</c:v>
                </c:pt>
                <c:pt idx="5">
                  <c:v>18.5</c:v>
                </c:pt>
                <c:pt idx="6">
                  <c:v>12</c:v>
                </c:pt>
                <c:pt idx="7">
                  <c:v>9</c:v>
                </c:pt>
                <c:pt idx="8">
                  <c:v>7</c:v>
                </c:pt>
                <c:pt idx="9">
                  <c:v>7</c:v>
                </c:pt>
                <c:pt idx="10">
                  <c:v>4</c:v>
                </c:pt>
                <c:pt idx="11">
                  <c:v>4</c:v>
                </c:pt>
                <c:pt idx="12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BurnDownTable!$C$2</c:f>
              <c:strCache>
                <c:ptCount val="1"/>
                <c:pt idx="0">
                  <c:v>Actual Burn Down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chemeClr val="accent4">
                    <a:lumMod val="75000"/>
                  </a:schemeClr>
                </a:solidFill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</c:marker>
          <c:cat>
            <c:numRef>
              <c:f>BurnDownTable!$A$3:$A$19</c:f>
              <c:numCache>
                <c:formatCode>d\-mmm</c:formatCode>
                <c:ptCount val="17"/>
                <c:pt idx="1">
                  <c:v>42656</c:v>
                </c:pt>
                <c:pt idx="2">
                  <c:v>42657</c:v>
                </c:pt>
                <c:pt idx="3">
                  <c:v>42658</c:v>
                </c:pt>
                <c:pt idx="4">
                  <c:v>42659</c:v>
                </c:pt>
                <c:pt idx="5">
                  <c:v>42660</c:v>
                </c:pt>
                <c:pt idx="6">
                  <c:v>42661</c:v>
                </c:pt>
                <c:pt idx="7">
                  <c:v>42662</c:v>
                </c:pt>
                <c:pt idx="8">
                  <c:v>42663</c:v>
                </c:pt>
                <c:pt idx="9">
                  <c:v>42664</c:v>
                </c:pt>
                <c:pt idx="10">
                  <c:v>42665</c:v>
                </c:pt>
                <c:pt idx="11">
                  <c:v>42666</c:v>
                </c:pt>
                <c:pt idx="12">
                  <c:v>42667</c:v>
                </c:pt>
                <c:pt idx="13">
                  <c:v>42668</c:v>
                </c:pt>
              </c:numCache>
            </c:numRef>
          </c:cat>
          <c:val>
            <c:numRef>
              <c:f>BurnDownTable!$C$3:$C$19</c:f>
              <c:numCache>
                <c:formatCode>0.0</c:formatCode>
                <c:ptCount val="17"/>
                <c:pt idx="0">
                  <c:v>24</c:v>
                </c:pt>
                <c:pt idx="1">
                  <c:v>24</c:v>
                </c:pt>
                <c:pt idx="2">
                  <c:v>24</c:v>
                </c:pt>
                <c:pt idx="3">
                  <c:v>24</c:v>
                </c:pt>
                <c:pt idx="4">
                  <c:v>23</c:v>
                </c:pt>
                <c:pt idx="5">
                  <c:v>22</c:v>
                </c:pt>
                <c:pt idx="6">
                  <c:v>18</c:v>
                </c:pt>
                <c:pt idx="7">
                  <c:v>12</c:v>
                </c:pt>
                <c:pt idx="8">
                  <c:v>9</c:v>
                </c:pt>
                <c:pt idx="9">
                  <c:v>6</c:v>
                </c:pt>
                <c:pt idx="10">
                  <c:v>6</c:v>
                </c:pt>
                <c:pt idx="11">
                  <c:v>3</c:v>
                </c:pt>
                <c:pt idx="12">
                  <c:v>3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197656"/>
        <c:axId val="211200400"/>
      </c:lineChart>
      <c:dateAx>
        <c:axId val="211197656"/>
        <c:scaling>
          <c:orientation val="minMax"/>
        </c:scaling>
        <c:delete val="0"/>
        <c:axPos val="b"/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200400"/>
        <c:crosses val="autoZero"/>
        <c:auto val="1"/>
        <c:lblOffset val="100"/>
        <c:baseTimeUnit val="days"/>
      </c:dateAx>
      <c:valAx>
        <c:axId val="211200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197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152400</xdr:colOff>
      <xdr:row>0</xdr:row>
      <xdr:rowOff>200024</xdr:rowOff>
    </xdr:from>
    <xdr:to>
      <xdr:col>15</xdr:col>
      <xdr:colOff>9525</xdr:colOff>
      <xdr:row>13</xdr:row>
      <xdr:rowOff>19049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2" name="Table2" displayName="Table2" ref="A2:B10" headerRowCount="0" totalsRowShown="0" headerRowDxfId="26" dataDxfId="25">
  <tableColumns count="2">
    <tableColumn id="1" name="Column1" headerRowDxfId="24" dataDxfId="23"/>
    <tableColumn id="2" name="Column2" headerRowDxfId="22" dataDxfId="21"/>
  </tableColumns>
  <tableStyleInfo name="TableStyleMedium26" showFirstColumn="0" showLastColumn="0" showRowStripes="1" showColumnStripes="0"/>
</table>
</file>

<file path=xl/tables/table2.xml><?xml version="1.0" encoding="utf-8"?>
<table xmlns="http://schemas.openxmlformats.org/spreadsheetml/2006/main" id="1" name="SprintBacklog" displayName="SprintBacklog" ref="A2:G25" totalsRowCount="1" headerRowDxfId="20" dataDxfId="19" totalsRowDxfId="18">
  <autoFilter ref="A2:G24"/>
  <tableColumns count="7">
    <tableColumn id="1" name="Sprint" totalsRowLabel="Total" totalsRowDxfId="17"/>
    <tableColumn id="2" name="Item ID" dataDxfId="16" totalsRowDxfId="15"/>
    <tableColumn id="3" name="Estimated Hours" totalsRowFunction="sum" dataDxfId="14" totalsRowDxfId="13"/>
    <tableColumn id="4" name="Task Name" dataDxfId="12" totalsRowDxfId="11"/>
    <tableColumn id="5" name="Assigned To" dataDxfId="10" totalsRowDxfId="9"/>
    <tableColumn id="6" name="Remaining Hours" totalsRowFunction="sum" dataDxfId="8" totalsRowDxfId="7">
      <calculatedColumnFormula>SprintBacklog[[#This Row],[Estimated Hours]]</calculatedColumnFormula>
    </tableColumn>
    <tableColumn id="7" name="Status" dataDxfId="6" totalsRowDxfId="5"/>
  </tableColumns>
  <tableStyleInfo name="TableStyleMedium26" showFirstColumn="0" showLastColumn="0" showRowStripes="1" showColumnStripes="0"/>
</table>
</file>

<file path=xl/tables/table3.xml><?xml version="1.0" encoding="utf-8"?>
<table xmlns="http://schemas.openxmlformats.org/spreadsheetml/2006/main" id="3" name="Table3" displayName="Table3" ref="A2:C19" totalsRowShown="0" headerRowDxfId="4" dataDxfId="3">
  <autoFilter ref="A2:C19"/>
  <tableColumns count="3">
    <tableColumn id="1" name="Work Day" dataDxfId="2"/>
    <tableColumn id="3" name="Estimate Burn Down" dataDxfId="1">
      <calculatedColumnFormula>SUBTOTAL(109,SprintBacklog[Estimated Hours])</calculatedColumnFormula>
    </tableColumn>
    <tableColumn id="4" name="Actual Burn Down" dataDxfId="0"/>
  </tableColumns>
  <tableStyleInfo name="TableStyleMedium2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1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7"/>
  <sheetViews>
    <sheetView workbookViewId="0">
      <selection activeCell="C12" sqref="C12"/>
    </sheetView>
  </sheetViews>
  <sheetFormatPr defaultRowHeight="16.5" x14ac:dyDescent="0.3"/>
  <cols>
    <col min="1" max="1" width="22.5703125" style="4" customWidth="1"/>
    <col min="2" max="2" width="11" style="3" customWidth="1"/>
    <col min="3" max="3" width="43.42578125" style="3" customWidth="1"/>
  </cols>
  <sheetData>
    <row r="1" spans="1:3" ht="17.25" thickBot="1" x14ac:dyDescent="0.35">
      <c r="C1" s="1"/>
    </row>
    <row r="2" spans="1:3" x14ac:dyDescent="0.3">
      <c r="A2" s="4" t="s">
        <v>0</v>
      </c>
      <c r="B2" s="5">
        <v>42656</v>
      </c>
      <c r="C2" s="2" t="s">
        <v>18</v>
      </c>
    </row>
    <row r="3" spans="1:3" ht="17.25" thickBot="1" x14ac:dyDescent="0.35">
      <c r="A3" s="4" t="s">
        <v>1</v>
      </c>
      <c r="B3" s="6">
        <v>42670</v>
      </c>
      <c r="C3" s="2" t="s">
        <v>19</v>
      </c>
    </row>
    <row r="4" spans="1:3" ht="17.25" thickBot="1" x14ac:dyDescent="0.35">
      <c r="A4" s="4" t="s">
        <v>15</v>
      </c>
      <c r="B4" s="3">
        <f>NETWORKDAYS(B2,B3)</f>
        <v>11</v>
      </c>
      <c r="C4" s="2"/>
    </row>
    <row r="5" spans="1:3" ht="17.25" thickBot="1" x14ac:dyDescent="0.35">
      <c r="A5" s="4" t="s">
        <v>2</v>
      </c>
      <c r="B5" s="7">
        <v>0</v>
      </c>
      <c r="C5" s="2" t="s">
        <v>20</v>
      </c>
    </row>
    <row r="6" spans="1:3" x14ac:dyDescent="0.3">
      <c r="A6" s="4" t="s">
        <v>16</v>
      </c>
      <c r="B6" s="3">
        <f>B4-B5</f>
        <v>11</v>
      </c>
      <c r="C6" s="2"/>
    </row>
    <row r="7" spans="1:3" ht="17.25" thickBot="1" x14ac:dyDescent="0.35">
      <c r="A7" s="4" t="s">
        <v>4</v>
      </c>
      <c r="B7" s="3">
        <v>4</v>
      </c>
      <c r="C7" s="2"/>
    </row>
    <row r="8" spans="1:3" ht="17.25" thickBot="1" x14ac:dyDescent="0.35">
      <c r="A8" s="4" t="s">
        <v>21</v>
      </c>
      <c r="B8" s="8">
        <v>0.8</v>
      </c>
      <c r="C8" s="2" t="s">
        <v>22</v>
      </c>
    </row>
    <row r="9" spans="1:3" x14ac:dyDescent="0.3">
      <c r="A9" s="4" t="s">
        <v>3</v>
      </c>
      <c r="B9" s="3">
        <f>(B4-B5)*B8*B7*8</f>
        <v>281.60000000000002</v>
      </c>
      <c r="C9" s="2"/>
    </row>
    <row r="10" spans="1:3" x14ac:dyDescent="0.3">
      <c r="A10" s="4" t="s">
        <v>5</v>
      </c>
      <c r="B10" s="3">
        <f>IFERROR(B9/B4,0)</f>
        <v>25.6</v>
      </c>
      <c r="C10" s="2"/>
    </row>
    <row r="11" spans="1:3" x14ac:dyDescent="0.3">
      <c r="C11" s="2"/>
    </row>
    <row r="12" spans="1:3" x14ac:dyDescent="0.3">
      <c r="C12" s="2"/>
    </row>
    <row r="13" spans="1:3" x14ac:dyDescent="0.3">
      <c r="C13" s="2"/>
    </row>
    <row r="14" spans="1:3" x14ac:dyDescent="0.3">
      <c r="C14" s="2"/>
    </row>
    <row r="15" spans="1:3" x14ac:dyDescent="0.3">
      <c r="C15" s="2"/>
    </row>
    <row r="16" spans="1:3" x14ac:dyDescent="0.3">
      <c r="C16" s="2"/>
    </row>
    <row r="17" spans="3:3" x14ac:dyDescent="0.3">
      <c r="C17" s="2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G25"/>
  <sheetViews>
    <sheetView workbookViewId="0">
      <selection activeCell="F27" sqref="F27"/>
    </sheetView>
  </sheetViews>
  <sheetFormatPr defaultRowHeight="16.5" x14ac:dyDescent="0.3"/>
  <cols>
    <col min="1" max="1" width="9.140625" style="3"/>
    <col min="2" max="2" width="9.5703125" style="3" customWidth="1"/>
    <col min="3" max="3" width="11.28515625" style="3" customWidth="1"/>
    <col min="4" max="4" width="113" style="3" bestFit="1" customWidth="1"/>
    <col min="5" max="5" width="7.85546875" style="3" hidden="1" customWidth="1"/>
    <col min="6" max="6" width="12.42578125" style="3" customWidth="1"/>
    <col min="7" max="7" width="13.5703125" style="3" customWidth="1"/>
    <col min="8" max="16384" width="9.140625" style="3"/>
  </cols>
  <sheetData>
    <row r="2" spans="1:7" ht="33" x14ac:dyDescent="0.3">
      <c r="A2" s="9" t="s">
        <v>12</v>
      </c>
      <c r="B2" s="9" t="s">
        <v>6</v>
      </c>
      <c r="C2" s="10" t="s">
        <v>7</v>
      </c>
      <c r="D2" s="9" t="s">
        <v>8</v>
      </c>
      <c r="E2" s="10" t="s">
        <v>9</v>
      </c>
      <c r="F2" s="10" t="s">
        <v>10</v>
      </c>
      <c r="G2" s="9" t="s">
        <v>11</v>
      </c>
    </row>
    <row r="3" spans="1:7" x14ac:dyDescent="0.3">
      <c r="A3">
        <v>4</v>
      </c>
      <c r="B3" s="14">
        <v>81</v>
      </c>
      <c r="C3">
        <v>1</v>
      </c>
      <c r="D3" t="s">
        <v>25</v>
      </c>
      <c r="E3" s="13"/>
      <c r="F3">
        <v>0</v>
      </c>
      <c r="G3" s="15" t="s">
        <v>23</v>
      </c>
    </row>
    <row r="4" spans="1:7" x14ac:dyDescent="0.3">
      <c r="A4">
        <v>4</v>
      </c>
      <c r="B4" s="14">
        <v>82</v>
      </c>
      <c r="C4">
        <v>1</v>
      </c>
      <c r="D4" t="s">
        <v>26</v>
      </c>
      <c r="E4" s="13"/>
      <c r="F4">
        <v>0</v>
      </c>
      <c r="G4" s="15" t="s">
        <v>23</v>
      </c>
    </row>
    <row r="5" spans="1:7" x14ac:dyDescent="0.3">
      <c r="A5">
        <v>4</v>
      </c>
      <c r="B5" s="14">
        <v>83</v>
      </c>
      <c r="C5">
        <v>2</v>
      </c>
      <c r="D5" t="s">
        <v>27</v>
      </c>
      <c r="E5" s="13"/>
      <c r="F5">
        <v>0</v>
      </c>
      <c r="G5" s="15" t="s">
        <v>23</v>
      </c>
    </row>
    <row r="6" spans="1:7" x14ac:dyDescent="0.3">
      <c r="A6">
        <v>4</v>
      </c>
      <c r="B6" s="14">
        <v>84</v>
      </c>
      <c r="C6">
        <v>0.5</v>
      </c>
      <c r="D6" t="s">
        <v>28</v>
      </c>
      <c r="E6" s="13"/>
      <c r="F6">
        <v>0</v>
      </c>
      <c r="G6" s="15" t="s">
        <v>23</v>
      </c>
    </row>
    <row r="7" spans="1:7" x14ac:dyDescent="0.3">
      <c r="A7">
        <v>4</v>
      </c>
      <c r="B7" s="14">
        <v>85</v>
      </c>
      <c r="C7">
        <v>1</v>
      </c>
      <c r="D7" t="s">
        <v>30</v>
      </c>
      <c r="E7" s="13"/>
      <c r="F7">
        <v>0</v>
      </c>
      <c r="G7" s="15" t="s">
        <v>23</v>
      </c>
    </row>
    <row r="8" spans="1:7" x14ac:dyDescent="0.3">
      <c r="A8">
        <v>4</v>
      </c>
      <c r="B8" s="14">
        <v>86</v>
      </c>
      <c r="C8">
        <v>1</v>
      </c>
      <c r="D8" t="s">
        <v>29</v>
      </c>
      <c r="E8" s="13"/>
      <c r="F8">
        <v>0</v>
      </c>
      <c r="G8" s="15" t="s">
        <v>23</v>
      </c>
    </row>
    <row r="9" spans="1:7" x14ac:dyDescent="0.3">
      <c r="A9">
        <v>4</v>
      </c>
      <c r="B9" s="14">
        <v>87</v>
      </c>
      <c r="C9">
        <v>0.5</v>
      </c>
      <c r="D9" t="s">
        <v>31</v>
      </c>
      <c r="E9" s="13"/>
      <c r="F9">
        <v>0</v>
      </c>
      <c r="G9" s="15" t="s">
        <v>23</v>
      </c>
    </row>
    <row r="10" spans="1:7" x14ac:dyDescent="0.3">
      <c r="A10">
        <v>4</v>
      </c>
      <c r="B10" s="14">
        <v>88</v>
      </c>
      <c r="C10">
        <v>2</v>
      </c>
      <c r="D10" t="s">
        <v>32</v>
      </c>
      <c r="E10" s="13"/>
      <c r="F10">
        <v>0</v>
      </c>
      <c r="G10" s="15" t="s">
        <v>23</v>
      </c>
    </row>
    <row r="11" spans="1:7" x14ac:dyDescent="0.3">
      <c r="A11">
        <v>4</v>
      </c>
      <c r="B11" s="14">
        <v>89</v>
      </c>
      <c r="C11">
        <v>1.5</v>
      </c>
      <c r="D11" t="s">
        <v>33</v>
      </c>
      <c r="E11" s="13"/>
      <c r="F11">
        <v>0</v>
      </c>
      <c r="G11" s="15" t="s">
        <v>23</v>
      </c>
    </row>
    <row r="12" spans="1:7" x14ac:dyDescent="0.3">
      <c r="A12">
        <v>4</v>
      </c>
      <c r="B12" s="14">
        <v>90</v>
      </c>
      <c r="C12">
        <v>1</v>
      </c>
      <c r="D12" t="s">
        <v>29</v>
      </c>
      <c r="E12" s="13"/>
      <c r="F12">
        <v>0</v>
      </c>
      <c r="G12" s="15" t="s">
        <v>23</v>
      </c>
    </row>
    <row r="13" spans="1:7" x14ac:dyDescent="0.3">
      <c r="A13">
        <v>4</v>
      </c>
      <c r="B13" s="14">
        <v>91</v>
      </c>
      <c r="C13">
        <v>0.5</v>
      </c>
      <c r="D13" t="s">
        <v>34</v>
      </c>
      <c r="E13" s="13"/>
      <c r="F13">
        <v>0</v>
      </c>
      <c r="G13" s="15" t="s">
        <v>23</v>
      </c>
    </row>
    <row r="14" spans="1:7" x14ac:dyDescent="0.3">
      <c r="A14">
        <v>4</v>
      </c>
      <c r="B14" s="14">
        <v>92</v>
      </c>
      <c r="C14">
        <v>2</v>
      </c>
      <c r="D14" t="s">
        <v>35</v>
      </c>
      <c r="E14" s="13"/>
      <c r="F14">
        <v>0</v>
      </c>
      <c r="G14" s="15" t="s">
        <v>23</v>
      </c>
    </row>
    <row r="15" spans="1:7" x14ac:dyDescent="0.3">
      <c r="A15">
        <v>4</v>
      </c>
      <c r="B15" s="14">
        <v>93</v>
      </c>
      <c r="C15">
        <v>1.5</v>
      </c>
      <c r="D15" t="s">
        <v>36</v>
      </c>
      <c r="E15" s="13"/>
      <c r="F15">
        <v>0</v>
      </c>
      <c r="G15" s="15" t="s">
        <v>23</v>
      </c>
    </row>
    <row r="16" spans="1:7" x14ac:dyDescent="0.3">
      <c r="A16">
        <v>4</v>
      </c>
      <c r="B16" s="14">
        <v>94</v>
      </c>
      <c r="C16">
        <v>1</v>
      </c>
      <c r="D16" t="s">
        <v>29</v>
      </c>
      <c r="E16" s="13"/>
      <c r="F16">
        <v>0</v>
      </c>
      <c r="G16" s="15" t="s">
        <v>23</v>
      </c>
    </row>
    <row r="17" spans="1:7" x14ac:dyDescent="0.3">
      <c r="A17">
        <v>4</v>
      </c>
      <c r="B17" s="14">
        <v>95</v>
      </c>
      <c r="C17">
        <v>0.5</v>
      </c>
      <c r="D17" t="s">
        <v>37</v>
      </c>
      <c r="E17" s="13"/>
      <c r="F17">
        <v>0</v>
      </c>
      <c r="G17" s="15" t="s">
        <v>23</v>
      </c>
    </row>
    <row r="18" spans="1:7" x14ac:dyDescent="0.3">
      <c r="A18">
        <v>4</v>
      </c>
      <c r="B18" s="14">
        <v>96</v>
      </c>
      <c r="C18" s="17">
        <v>1</v>
      </c>
      <c r="D18" t="s">
        <v>38</v>
      </c>
      <c r="E18" s="17"/>
      <c r="F18" s="17">
        <v>0</v>
      </c>
      <c r="G18" s="17"/>
    </row>
    <row r="19" spans="1:7" x14ac:dyDescent="0.3">
      <c r="A19">
        <v>4</v>
      </c>
      <c r="B19" s="14">
        <v>97</v>
      </c>
      <c r="C19" s="17">
        <v>0.5</v>
      </c>
      <c r="D19" t="s">
        <v>29</v>
      </c>
      <c r="E19" s="17"/>
      <c r="F19" s="17">
        <v>0</v>
      </c>
      <c r="G19" s="17"/>
    </row>
    <row r="20" spans="1:7" x14ac:dyDescent="0.3">
      <c r="A20">
        <v>4</v>
      </c>
      <c r="B20" s="14">
        <v>98</v>
      </c>
      <c r="C20" s="17">
        <v>0.25</v>
      </c>
      <c r="D20" t="s">
        <v>39</v>
      </c>
      <c r="E20" s="17"/>
      <c r="F20" s="17">
        <v>0</v>
      </c>
      <c r="G20" s="17"/>
    </row>
    <row r="21" spans="1:7" x14ac:dyDescent="0.3">
      <c r="A21">
        <v>4</v>
      </c>
      <c r="B21" s="14">
        <v>99</v>
      </c>
      <c r="C21" s="17">
        <v>0.5</v>
      </c>
      <c r="D21" t="s">
        <v>40</v>
      </c>
      <c r="E21" s="17"/>
      <c r="F21" s="17">
        <v>0</v>
      </c>
      <c r="G21" s="17"/>
    </row>
    <row r="22" spans="1:7" x14ac:dyDescent="0.3">
      <c r="A22">
        <v>4</v>
      </c>
      <c r="B22" s="14">
        <v>100</v>
      </c>
      <c r="C22" s="17">
        <v>0.25</v>
      </c>
      <c r="D22" t="s">
        <v>29</v>
      </c>
      <c r="E22" s="17"/>
      <c r="F22" s="17">
        <v>0</v>
      </c>
      <c r="G22" s="17"/>
    </row>
    <row r="23" spans="1:7" x14ac:dyDescent="0.3">
      <c r="A23">
        <v>4</v>
      </c>
      <c r="B23" s="14">
        <v>101</v>
      </c>
      <c r="C23" s="17">
        <v>2</v>
      </c>
      <c r="D23" t="s">
        <v>41</v>
      </c>
      <c r="E23" s="17"/>
      <c r="F23" s="17">
        <v>0</v>
      </c>
      <c r="G23" s="17"/>
    </row>
    <row r="24" spans="1:7" x14ac:dyDescent="0.3">
      <c r="A24">
        <v>4</v>
      </c>
      <c r="B24" s="14">
        <v>102</v>
      </c>
      <c r="C24" s="17">
        <v>1</v>
      </c>
      <c r="D24" t="s">
        <v>29</v>
      </c>
      <c r="E24" s="17"/>
      <c r="F24" s="17">
        <v>0</v>
      </c>
      <c r="G24" s="17"/>
    </row>
    <row r="25" spans="1:7" x14ac:dyDescent="0.3">
      <c r="A25" s="3" t="s">
        <v>13</v>
      </c>
      <c r="B25" s="17"/>
      <c r="C25" s="17">
        <f>SUBTOTAL(109,SprintBacklog[Estimated Hours])</f>
        <v>22.5</v>
      </c>
      <c r="D25" s="17"/>
      <c r="E25" s="17"/>
      <c r="F25" s="17">
        <f>SUBTOTAL(109,SprintBacklog[Remaining Hours])</f>
        <v>0</v>
      </c>
      <c r="G25" s="17"/>
    </row>
  </sheetData>
  <pageMargins left="0.7" right="0.7" top="0.75" bottom="0.75" header="0.3" footer="0.3"/>
  <pageSetup paperSize="9" orientation="portrait" horizontalDpi="4294967293" verticalDpi="4294967293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2:D32"/>
  <sheetViews>
    <sheetView tabSelected="1" workbookViewId="0">
      <selection activeCell="D22" sqref="D22"/>
    </sheetView>
  </sheetViews>
  <sheetFormatPr defaultColWidth="7.85546875" defaultRowHeight="16.5" x14ac:dyDescent="0.3"/>
  <cols>
    <col min="1" max="1" width="10.28515625" style="3" customWidth="1"/>
    <col min="2" max="4" width="10.28515625" style="13" customWidth="1"/>
    <col min="5" max="16384" width="7.85546875" style="3"/>
  </cols>
  <sheetData>
    <row r="2" spans="1:4" ht="49.5" x14ac:dyDescent="0.3">
      <c r="A2" s="10" t="s">
        <v>14</v>
      </c>
      <c r="B2" s="11" t="s">
        <v>24</v>
      </c>
      <c r="C2" s="11" t="s">
        <v>17</v>
      </c>
      <c r="D2" s="12"/>
    </row>
    <row r="3" spans="1:4" x14ac:dyDescent="0.3">
      <c r="A3" s="16"/>
      <c r="B3" s="18">
        <f>SUBTOTAL(109,SprintBacklog[Estimated Hours])</f>
        <v>22.5</v>
      </c>
      <c r="C3" s="19">
        <v>24</v>
      </c>
    </row>
    <row r="4" spans="1:4" x14ac:dyDescent="0.3">
      <c r="A4" s="16">
        <v>42656</v>
      </c>
      <c r="B4" s="19">
        <f>SUBTOTAL(109,SprintBacklog[Estimated Hours])</f>
        <v>22.5</v>
      </c>
      <c r="C4" s="19">
        <v>24</v>
      </c>
    </row>
    <row r="5" spans="1:4" x14ac:dyDescent="0.3">
      <c r="A5" s="16">
        <v>42657</v>
      </c>
      <c r="B5" s="19">
        <f>SUBTOTAL(109,SprintBacklog[Estimated Hours])</f>
        <v>22.5</v>
      </c>
      <c r="C5" s="19">
        <v>24</v>
      </c>
    </row>
    <row r="6" spans="1:4" x14ac:dyDescent="0.3">
      <c r="A6" s="16">
        <v>42658</v>
      </c>
      <c r="B6" s="19">
        <v>22.5</v>
      </c>
      <c r="C6" s="19">
        <v>24</v>
      </c>
    </row>
    <row r="7" spans="1:4" x14ac:dyDescent="0.3">
      <c r="A7" s="16">
        <v>42659</v>
      </c>
      <c r="B7" s="19">
        <v>21.5</v>
      </c>
      <c r="C7" s="19">
        <v>23</v>
      </c>
    </row>
    <row r="8" spans="1:4" x14ac:dyDescent="0.3">
      <c r="A8" s="16">
        <v>42660</v>
      </c>
      <c r="B8" s="19">
        <v>20.5</v>
      </c>
      <c r="C8" s="19">
        <v>22</v>
      </c>
    </row>
    <row r="9" spans="1:4" x14ac:dyDescent="0.3">
      <c r="A9" s="16">
        <v>42661</v>
      </c>
      <c r="B9" s="18">
        <v>18.5</v>
      </c>
      <c r="C9" s="19">
        <v>18</v>
      </c>
    </row>
    <row r="10" spans="1:4" x14ac:dyDescent="0.3">
      <c r="A10" s="16">
        <v>42662</v>
      </c>
      <c r="B10" s="18">
        <v>12</v>
      </c>
      <c r="C10" s="19">
        <v>12</v>
      </c>
    </row>
    <row r="11" spans="1:4" x14ac:dyDescent="0.3">
      <c r="A11" s="16">
        <v>42663</v>
      </c>
      <c r="B11" s="18">
        <v>9</v>
      </c>
      <c r="C11" s="19">
        <v>9</v>
      </c>
    </row>
    <row r="12" spans="1:4" x14ac:dyDescent="0.3">
      <c r="A12" s="16">
        <v>42664</v>
      </c>
      <c r="B12" s="18">
        <v>7</v>
      </c>
      <c r="C12" s="19">
        <v>6</v>
      </c>
    </row>
    <row r="13" spans="1:4" x14ac:dyDescent="0.3">
      <c r="A13" s="16">
        <v>42665</v>
      </c>
      <c r="B13" s="18">
        <v>7</v>
      </c>
      <c r="C13" s="19">
        <v>6</v>
      </c>
    </row>
    <row r="14" spans="1:4" x14ac:dyDescent="0.3">
      <c r="A14" s="16">
        <v>42666</v>
      </c>
      <c r="B14" s="18">
        <v>4</v>
      </c>
      <c r="C14" s="19">
        <v>3</v>
      </c>
      <c r="D14" s="3"/>
    </row>
    <row r="15" spans="1:4" x14ac:dyDescent="0.3">
      <c r="A15" s="16">
        <v>42667</v>
      </c>
      <c r="B15" s="18">
        <v>4</v>
      </c>
      <c r="C15" s="19">
        <v>3</v>
      </c>
      <c r="D15" s="3"/>
    </row>
    <row r="16" spans="1:4" x14ac:dyDescent="0.3">
      <c r="A16" s="16">
        <v>42668</v>
      </c>
      <c r="B16" s="18">
        <v>0</v>
      </c>
      <c r="C16" s="19">
        <v>0</v>
      </c>
      <c r="D16" s="3"/>
    </row>
    <row r="17" spans="1:4" x14ac:dyDescent="0.3">
      <c r="A17" s="16"/>
      <c r="B17" s="19"/>
      <c r="C17" s="19"/>
      <c r="D17" s="3"/>
    </row>
    <row r="18" spans="1:4" x14ac:dyDescent="0.3">
      <c r="A18" s="16"/>
      <c r="B18" s="18"/>
      <c r="C18" s="18"/>
      <c r="D18" s="3"/>
    </row>
    <row r="19" spans="1:4" x14ac:dyDescent="0.3">
      <c r="A19" s="16"/>
      <c r="B19" s="18"/>
      <c r="C19" s="18"/>
      <c r="D19" s="3"/>
    </row>
    <row r="20" spans="1:4" x14ac:dyDescent="0.3">
      <c r="D20" s="3"/>
    </row>
    <row r="21" spans="1:4" x14ac:dyDescent="0.3">
      <c r="D21" s="3"/>
    </row>
    <row r="22" spans="1:4" x14ac:dyDescent="0.3">
      <c r="D22" s="3"/>
    </row>
    <row r="23" spans="1:4" x14ac:dyDescent="0.3">
      <c r="D23" s="3"/>
    </row>
    <row r="24" spans="1:4" x14ac:dyDescent="0.3">
      <c r="D24" s="3"/>
    </row>
    <row r="25" spans="1:4" x14ac:dyDescent="0.3">
      <c r="D25" s="3"/>
    </row>
    <row r="26" spans="1:4" x14ac:dyDescent="0.3">
      <c r="D26" s="3"/>
    </row>
    <row r="27" spans="1:4" x14ac:dyDescent="0.3">
      <c r="D27" s="3"/>
    </row>
    <row r="28" spans="1:4" x14ac:dyDescent="0.3">
      <c r="D28" s="3"/>
    </row>
    <row r="29" spans="1:4" x14ac:dyDescent="0.3">
      <c r="D29" s="3"/>
    </row>
    <row r="30" spans="1:4" x14ac:dyDescent="0.3">
      <c r="D30" s="3"/>
    </row>
    <row r="31" spans="1:4" x14ac:dyDescent="0.3">
      <c r="D31" s="3"/>
    </row>
    <row r="32" spans="1:4" x14ac:dyDescent="0.3">
      <c r="D32" s="3"/>
    </row>
  </sheetData>
  <pageMargins left="0.7" right="0.7" top="0.75" bottom="0.75" header="0.3" footer="0.3"/>
  <pageSetup orientation="portrait" r:id="rId1"/>
  <drawing r:id="rId2"/>
  <legacyDrawing r:id="rId3"/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SprintInfo</vt:lpstr>
      <vt:lpstr>BacklogTable</vt:lpstr>
      <vt:lpstr>BurnDownTable</vt:lpstr>
      <vt:lpstr>DevRate</vt:lpstr>
      <vt:lpstr>RemainingHours</vt:lpstr>
      <vt:lpstr>StartDate</vt:lpstr>
      <vt:lpstr>TotalHours</vt:lpstr>
      <vt:lpstr>WorkingDays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PowerUps for Excel</dc:creator>
  <cp:lastModifiedBy>Hay Den</cp:lastModifiedBy>
  <dcterms:created xsi:type="dcterms:W3CDTF">2014-10-14T22:04:59Z</dcterms:created>
  <dcterms:modified xsi:type="dcterms:W3CDTF">2016-10-26T15:07:58Z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f4c34108-b767-460c-9e39-c325ca9bd37e</vt:lpwstr>
  </property>
</Properties>
</file>